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3ba22710dc31c8/Documents/"/>
    </mc:Choice>
  </mc:AlternateContent>
  <xr:revisionPtr revIDLastSave="708" documentId="8_{4CD8B830-6324-4427-ACA5-B75BBF5DBE49}" xr6:coauthVersionLast="47" xr6:coauthVersionMax="47" xr10:uidLastSave="{63A4A412-841B-4984-8B4D-F800ACC92860}"/>
  <bookViews>
    <workbookView xWindow="-108" yWindow="-108" windowWidth="23256" windowHeight="14616" activeTab="1" xr2:uid="{90CAEFDB-ED7F-4677-ACE9-926A35EBE814}"/>
  </bookViews>
  <sheets>
    <sheet name="Chart1" sheetId="3" r:id="rId1"/>
    <sheet name="Sheet1" sheetId="1" r:id="rId2"/>
    <sheet name="Source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H8" i="1"/>
  <c r="I8" i="1"/>
  <c r="G87" i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E59" i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C59" i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B59" i="1"/>
  <c r="B60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E23" i="1"/>
  <c r="E76" i="1" s="1"/>
  <c r="E77" i="1" s="1"/>
  <c r="E22" i="1"/>
  <c r="H22" i="1" s="1"/>
  <c r="E21" i="1"/>
  <c r="H21" i="1" s="1"/>
  <c r="E20" i="1"/>
  <c r="H20" i="1" s="1"/>
  <c r="E78" i="1" l="1"/>
  <c r="E79" i="1" s="1"/>
  <c r="E80" i="1" s="1"/>
  <c r="E81" i="1" s="1"/>
  <c r="E82" i="1" s="1"/>
  <c r="E83" i="1" s="1"/>
  <c r="E84" i="1" s="1"/>
  <c r="E85" i="1" s="1"/>
  <c r="E86" i="1" s="1"/>
  <c r="E87" i="1" s="1"/>
  <c r="H23" i="1"/>
  <c r="H24" i="1" s="1"/>
  <c r="H5" i="1" s="1"/>
  <c r="H7" i="1" s="1"/>
  <c r="H9" i="1" s="1"/>
  <c r="H10" i="1" s="1"/>
  <c r="E24" i="1"/>
  <c r="C87" i="1"/>
  <c r="D87" i="1"/>
  <c r="B61" i="1"/>
  <c r="B77" i="1"/>
  <c r="G77" i="1"/>
  <c r="G80" i="1"/>
  <c r="D83" i="1"/>
  <c r="C86" i="1"/>
  <c r="G83" i="1"/>
  <c r="D86" i="1"/>
  <c r="G86" i="1"/>
  <c r="D80" i="1"/>
  <c r="C83" i="1"/>
  <c r="C78" i="1"/>
  <c r="C81" i="1"/>
  <c r="D78" i="1"/>
  <c r="D81" i="1"/>
  <c r="C84" i="1"/>
  <c r="C76" i="1"/>
  <c r="G78" i="1"/>
  <c r="D84" i="1"/>
  <c r="D76" i="1"/>
  <c r="G81" i="1"/>
  <c r="G84" i="1"/>
  <c r="C79" i="1"/>
  <c r="G76" i="1"/>
  <c r="D79" i="1"/>
  <c r="C82" i="1"/>
  <c r="C85" i="1"/>
  <c r="D85" i="1"/>
  <c r="G79" i="1"/>
  <c r="D82" i="1"/>
  <c r="C77" i="1"/>
  <c r="G82" i="1"/>
  <c r="D77" i="1"/>
  <c r="C80" i="1"/>
  <c r="G85" i="1"/>
  <c r="B76" i="1"/>
  <c r="F76" i="1" l="1"/>
  <c r="H76" i="1" s="1"/>
  <c r="F77" i="1"/>
  <c r="H77" i="1" s="1"/>
  <c r="I77" i="1" s="1"/>
  <c r="J77" i="1" s="1"/>
  <c r="B62" i="1"/>
  <c r="B78" i="1"/>
  <c r="F78" i="1" s="1"/>
  <c r="H78" i="1" s="1"/>
  <c r="I78" i="1" s="1"/>
  <c r="J78" i="1" s="1"/>
  <c r="I76" i="1" l="1"/>
  <c r="J76" i="1" s="1"/>
  <c r="B63" i="1"/>
  <c r="B79" i="1"/>
  <c r="F79" i="1" s="1"/>
  <c r="H79" i="1" s="1"/>
  <c r="I79" i="1" s="1"/>
  <c r="J79" i="1" s="1"/>
  <c r="B64" i="1" l="1"/>
  <c r="B80" i="1"/>
  <c r="F80" i="1" s="1"/>
  <c r="H80" i="1" s="1"/>
  <c r="I80" i="1" l="1"/>
  <c r="J80" i="1" s="1"/>
  <c r="B65" i="1"/>
  <c r="B81" i="1"/>
  <c r="F81" i="1" s="1"/>
  <c r="H81" i="1" s="1"/>
  <c r="I81" i="1" s="1"/>
  <c r="J81" i="1" s="1"/>
  <c r="B66" i="1" l="1"/>
  <c r="B82" i="1"/>
  <c r="F82" i="1" s="1"/>
  <c r="H82" i="1" s="1"/>
  <c r="I82" i="1" s="1"/>
  <c r="J82" i="1" s="1"/>
  <c r="B67" i="1" l="1"/>
  <c r="B83" i="1"/>
  <c r="F83" i="1" s="1"/>
  <c r="H83" i="1" s="1"/>
  <c r="I83" i="1" l="1"/>
  <c r="J83" i="1" s="1"/>
  <c r="B68" i="1"/>
  <c r="B84" i="1"/>
  <c r="F84" i="1" s="1"/>
  <c r="H84" i="1" s="1"/>
  <c r="I84" i="1" s="1"/>
  <c r="J84" i="1" s="1"/>
  <c r="B69" i="1" l="1"/>
  <c r="B85" i="1"/>
  <c r="F85" i="1" s="1"/>
  <c r="H85" i="1" s="1"/>
  <c r="I85" i="1" s="1"/>
  <c r="J85" i="1" s="1"/>
  <c r="B70" i="1" l="1"/>
  <c r="B87" i="1" s="1"/>
  <c r="F87" i="1" s="1"/>
  <c r="H87" i="1" s="1"/>
  <c r="B86" i="1"/>
  <c r="F86" i="1" s="1"/>
  <c r="H86" i="1" s="1"/>
  <c r="I86" i="1" s="1"/>
  <c r="J86" i="1" s="1"/>
  <c r="I87" i="1" l="1"/>
  <c r="J87" i="1" s="1"/>
  <c r="I9" i="1" s="1"/>
  <c r="I10" i="1" s="1"/>
  <c r="I5" i="1"/>
  <c r="I7" i="1" s="1"/>
</calcChain>
</file>

<file path=xl/sharedStrings.xml><?xml version="1.0" encoding="utf-8"?>
<sst xmlns="http://schemas.openxmlformats.org/spreadsheetml/2006/main" count="122" uniqueCount="99">
  <si>
    <t>Business Context</t>
  </si>
  <si>
    <t>Company</t>
  </si>
  <si>
    <t>Apple-like Consumer Electronics Manufacturer</t>
  </si>
  <si>
    <t>Product</t>
  </si>
  <si>
    <t>Flagship Smartphone</t>
  </si>
  <si>
    <t>Time Granularity</t>
  </si>
  <si>
    <t>Monthly</t>
  </si>
  <si>
    <t>Currency</t>
  </si>
  <si>
    <t>USD</t>
  </si>
  <si>
    <t>Forecast Horizon</t>
  </si>
  <si>
    <t>12 Months Forward</t>
  </si>
  <si>
    <t>Label</t>
  </si>
  <si>
    <t>Value</t>
  </si>
  <si>
    <t>Global Assumptions</t>
  </si>
  <si>
    <t>Monthly Units Produced</t>
  </si>
  <si>
    <t>Standard Cost per Unit (USD)</t>
  </si>
  <si>
    <t>Target Gross Margin (%)</t>
  </si>
  <si>
    <t>FX Exposure (% of Cost in CNY)</t>
  </si>
  <si>
    <t>Cost Driver</t>
  </si>
  <si>
    <t>% of COGS</t>
  </si>
  <si>
    <t>Semiconductor Components</t>
  </si>
  <si>
    <t>Energy &amp; Manufacturing</t>
  </si>
  <si>
    <t>Freight &amp; Logistics</t>
  </si>
  <si>
    <t>Other Fixed Costs</t>
  </si>
  <si>
    <t>Scenario Control</t>
  </si>
  <si>
    <t>Selected Scenario</t>
  </si>
  <si>
    <t>Base</t>
  </si>
  <si>
    <t>Assumption</t>
  </si>
  <si>
    <t>Semiconductor Cost Change (% YoY)</t>
  </si>
  <si>
    <t>Energy Cost Inflation (%)</t>
  </si>
  <si>
    <t>FX Movement (USD/CNY %)</t>
  </si>
  <si>
    <t>Freight Cost Change (%)</t>
  </si>
  <si>
    <t>Date</t>
  </si>
  <si>
    <t>Semiconductor Cost Index</t>
  </si>
  <si>
    <t>Energy Cost Index</t>
  </si>
  <si>
    <t>USD/CNY FX Rate</t>
  </si>
  <si>
    <t>Freight Cost Index</t>
  </si>
  <si>
    <t>HISTORICAL COST DRIVER DATA</t>
  </si>
  <si>
    <t>Cost Component</t>
  </si>
  <si>
    <t>Total Standard Cost</t>
  </si>
  <si>
    <t>Forecasted Cost per Unit (USD)</t>
  </si>
  <si>
    <t>Total Forecasted Cost</t>
  </si>
  <si>
    <t>Forecast Cost per Unit</t>
  </si>
  <si>
    <t>Standard Cost per Unit</t>
  </si>
  <si>
    <t>PPV per Unit</t>
  </si>
  <si>
    <t>Monthly Units</t>
  </si>
  <si>
    <t>Monthly PPV (USD)</t>
  </si>
  <si>
    <t>Annualized PPV (USD)</t>
  </si>
  <si>
    <t>Semi Cost/Unit</t>
  </si>
  <si>
    <t>Energy Cost/Unit</t>
  </si>
  <si>
    <t>Freight Cost/Unit</t>
  </si>
  <si>
    <t>Other Fixed/Unit</t>
  </si>
  <si>
    <t>Variable Cost (Pre-FX)</t>
  </si>
  <si>
    <t>FX Multiplier</t>
  </si>
  <si>
    <t>Total Forecast Cost/Unit</t>
  </si>
  <si>
    <t>Fixed Cost Inflation (% YoY)</t>
  </si>
  <si>
    <t>Scenario Snapshot</t>
  </si>
  <si>
    <t>Executive Summary and Scenario Inputs</t>
  </si>
  <si>
    <t>Forecast Mechanics and Impact</t>
  </si>
  <si>
    <t>SCENARIO ASSUMPTIONS</t>
  </si>
  <si>
    <t>Monthly Forecasted Unit Cost &amp; PPV Impact (Jan - Dec 2025)</t>
  </si>
  <si>
    <t>Cost Structure</t>
  </si>
  <si>
    <t>Standard Cost Breakdown</t>
  </si>
  <si>
    <t>Historical Cost Driver Data</t>
  </si>
  <si>
    <t>Forecasted Cost Driver Data  (Jan - Dec 2025)</t>
  </si>
  <si>
    <t>Purchase Price Variance(PPV) - Snapshot vs FY '25 Forecast</t>
  </si>
  <si>
    <t>Snapshot</t>
  </si>
  <si>
    <t>Avg. 2025</t>
  </si>
  <si>
    <t>PPV (USD)</t>
  </si>
  <si>
    <t>Other Fixed Costs (Base)</t>
  </si>
  <si>
    <t>Note - Snapshot reflects single-period scenario impact; FY-2025 reflects time-weighted forecast outcome.</t>
  </si>
  <si>
    <t>Unless otherwise stated, cost indices and assumptions are illustrative and used solely for financial modeling demonstration purposes</t>
  </si>
  <si>
    <t>USD/CNY FX Monthly Average Rates (2023–2025)</t>
  </si>
  <si>
    <t>https://www.x-rates.com/average/?from=USD&amp;to=CNY</t>
  </si>
  <si>
    <t>Used for:</t>
  </si>
  <si>
    <t>Historical FX (2023–2024)</t>
  </si>
  <si>
    <t>Forecast FX (Jan–Dec 2025, actuals)</t>
  </si>
  <si>
    <t>FX multiplier logic in Layer 3</t>
  </si>
  <si>
    <t>Apple Inc. Investor Relations (10-K / cost structure context)</t>
  </si>
  <si>
    <t>https://investor.apple.com/investor-relations/default.aspx</t>
  </si>
  <si>
    <t>Justifying consumer electronics cost structure</t>
  </si>
  <si>
    <t>Framing assumptions (semis, logistics, energy mix)</t>
  </si>
  <si>
    <r>
      <t xml:space="preserve">   No numbers pulled, but valid to cite as </t>
    </r>
    <r>
      <rPr>
        <b/>
        <sz val="11"/>
        <color theme="1"/>
        <rFont val="Aptos Narrow"/>
        <family val="2"/>
        <scheme val="minor"/>
      </rPr>
      <t>contextual grounding</t>
    </r>
    <r>
      <rPr>
        <sz val="11"/>
        <color theme="1"/>
        <rFont val="Aptos Narrow"/>
        <family val="2"/>
        <scheme val="minor"/>
      </rPr>
      <t>.</t>
    </r>
  </si>
  <si>
    <t>FX Risk &amp; Exposure Modeling</t>
  </si>
  <si>
    <t>https://corporatefinanceinstitute.com/resources/valuation/foreign-exchange-risk/</t>
  </si>
  <si>
    <t>Apple Supply Chain Overview</t>
  </si>
  <si>
    <t>https://www.apple.com/supply-chain/</t>
  </si>
  <si>
    <t>Inflation &amp; Cost Forecasting Concepts</t>
  </si>
  <si>
    <t>https://www.investopedia.com/terms/i/inflation.asp</t>
  </si>
  <si>
    <t>Understanding and applying partial FX exposure to cost components, informing the model’s use of an FX exposure factor (65%) and the construction of an effective FX multiplier rather than applying FX movements to 100% of costs.</t>
  </si>
  <si>
    <t>Contextual reference to a global consumer electronics supply chain, supporting the model’s cost structure assumptions around semiconductor intensity, logistics reliance, and internationally sourced components.</t>
  </si>
  <si>
    <t>General methodology reference for incorporating inflation into cost forecasts, supporting the conversion of annual inflation assumptions into monthly compounding rates applied to energy and fixed cost components.</t>
  </si>
  <si>
    <t xml:space="preserve">1) </t>
  </si>
  <si>
    <t xml:space="preserve">2) </t>
  </si>
  <si>
    <t xml:space="preserve">3) </t>
  </si>
  <si>
    <t>4)</t>
  </si>
  <si>
    <t>5)</t>
  </si>
  <si>
    <t>Note - Cost Translation &amp; PPV Impact (USD)</t>
  </si>
  <si>
    <t>Note - Derived Unit Economics (applies forecasted indices to standard costs)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</si>
</sst>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206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.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9" fontId="0" fillId="0" borderId="0" xfId="0" applyNumberFormat="1"/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44" fontId="0" fillId="0" borderId="0" xfId="1" applyFont="1" applyAlignment="1">
      <alignment vertical="center" wrapText="1"/>
    </xf>
    <xf numFmtId="44" fontId="0" fillId="0" borderId="0" xfId="1" applyFont="1" applyAlignment="1">
      <alignment vertical="center"/>
    </xf>
    <xf numFmtId="44" fontId="0" fillId="0" borderId="0" xfId="1" applyFont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44" fontId="0" fillId="0" borderId="0" xfId="0" applyNumberFormat="1"/>
    <xf numFmtId="0" fontId="3" fillId="0" borderId="0" xfId="0" applyFont="1"/>
    <xf numFmtId="14" fontId="0" fillId="0" borderId="0" xfId="0" applyNumberFormat="1" applyAlignment="1">
      <alignment vertical="center"/>
    </xf>
    <xf numFmtId="0" fontId="7" fillId="0" borderId="0" xfId="2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2"/>
    <xf numFmtId="44" fontId="0" fillId="0" borderId="0" xfId="0" applyNumberFormat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44" fontId="0" fillId="0" borderId="0" xfId="1" applyFont="1" applyBorder="1" applyAlignment="1">
      <alignment vertical="center" wrapText="1"/>
    </xf>
    <xf numFmtId="44" fontId="0" fillId="0" borderId="4" xfId="1" applyFont="1" applyBorder="1" applyAlignment="1">
      <alignment vertical="center" wrapText="1"/>
    </xf>
    <xf numFmtId="44" fontId="0" fillId="0" borderId="5" xfId="0" applyNumberFormat="1" applyBorder="1"/>
    <xf numFmtId="44" fontId="0" fillId="0" borderId="6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4" fontId="0" fillId="0" borderId="4" xfId="1" applyFont="1" applyBorder="1" applyAlignment="1">
      <alignment vertical="center"/>
    </xf>
    <xf numFmtId="9" fontId="0" fillId="0" borderId="4" xfId="0" applyNumberFormat="1" applyBorder="1" applyAlignment="1">
      <alignment vertical="center"/>
    </xf>
    <xf numFmtId="9" fontId="0" fillId="0" borderId="6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44" fontId="0" fillId="0" borderId="3" xfId="1" applyFont="1" applyBorder="1" applyAlignment="1">
      <alignment vertical="center"/>
    </xf>
    <xf numFmtId="44" fontId="0" fillId="0" borderId="6" xfId="1" applyFont="1" applyBorder="1" applyAlignment="1">
      <alignment vertical="center"/>
    </xf>
    <xf numFmtId="44" fontId="0" fillId="0" borderId="6" xfId="1" applyFont="1" applyBorder="1"/>
    <xf numFmtId="9" fontId="0" fillId="0" borderId="4" xfId="0" applyNumberFormat="1" applyBorder="1" applyAlignment="1">
      <alignment horizontal="right" vertical="center"/>
    </xf>
    <xf numFmtId="9" fontId="0" fillId="0" borderId="6" xfId="0" applyNumberFormat="1" applyBorder="1" applyAlignment="1">
      <alignment horizontal="right"/>
    </xf>
    <xf numFmtId="0" fontId="0" fillId="0" borderId="9" xfId="0" applyBorder="1"/>
    <xf numFmtId="14" fontId="0" fillId="0" borderId="1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0" fontId="3" fillId="0" borderId="2" xfId="0" applyFont="1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" xfId="0" applyNumberFormat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2" fontId="0" fillId="0" borderId="9" xfId="0" applyNumberFormat="1" applyBorder="1" applyAlignment="1">
      <alignment vertical="center" wrapText="1"/>
    </xf>
    <xf numFmtId="44" fontId="0" fillId="0" borderId="1" xfId="1" applyFont="1" applyBorder="1"/>
    <xf numFmtId="44" fontId="0" fillId="0" borderId="3" xfId="1" applyFont="1" applyBorder="1"/>
    <xf numFmtId="44" fontId="0" fillId="0" borderId="8" xfId="1" applyFont="1" applyBorder="1"/>
    <xf numFmtId="44" fontId="0" fillId="0" borderId="4" xfId="1" applyFont="1" applyBorder="1"/>
    <xf numFmtId="44" fontId="0" fillId="0" borderId="9" xfId="1" applyFont="1" applyBorder="1"/>
    <xf numFmtId="164" fontId="0" fillId="0" borderId="1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4" fillId="3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14" fontId="3" fillId="5" borderId="0" xfId="0" applyNumberFormat="1" applyFont="1" applyFill="1" applyAlignment="1">
      <alignment vertical="center"/>
    </xf>
    <xf numFmtId="0" fontId="0" fillId="5" borderId="0" xfId="0" applyFill="1"/>
    <xf numFmtId="0" fontId="3" fillId="5" borderId="0" xfId="0" applyFont="1" applyFill="1"/>
    <xf numFmtId="0" fontId="8" fillId="5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603119"/>
        <c:axId val="1934607919"/>
      </c:barChart>
      <c:catAx>
        <c:axId val="1934603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07919"/>
        <c:crosses val="autoZero"/>
        <c:auto val="1"/>
        <c:lblAlgn val="ctr"/>
        <c:lblOffset val="100"/>
        <c:noMultiLvlLbl val="0"/>
      </c:catAx>
      <c:valAx>
        <c:axId val="19346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0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00223C-2578-42C4-9B55-9BA64160922F}">
  <sheetPr/>
  <sheetViews>
    <sheetView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317DB-0227-500F-EDF2-0AA652AF4E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supply-chain/" TargetMode="External"/><Relationship Id="rId2" Type="http://schemas.openxmlformats.org/officeDocument/2006/relationships/hyperlink" Target="https://investor.apple.com/investor-relations/default.aspx" TargetMode="External"/><Relationship Id="rId1" Type="http://schemas.openxmlformats.org/officeDocument/2006/relationships/hyperlink" Target="https://www.x-rates.com/average/?from=USD&amp;to=CNY" TargetMode="External"/><Relationship Id="rId4" Type="http://schemas.openxmlformats.org/officeDocument/2006/relationships/hyperlink" Target="https://www.investopedia.com/terms/i/inflation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512D-1668-4AD4-8B31-BCF3C25F96C8}">
  <dimension ref="A1:N103"/>
  <sheetViews>
    <sheetView tabSelected="1" topLeftCell="A64" zoomScale="79" zoomScaleNormal="82" workbookViewId="0">
      <selection activeCell="C16" sqref="C16"/>
    </sheetView>
  </sheetViews>
  <sheetFormatPr defaultRowHeight="14.4" x14ac:dyDescent="0.3"/>
  <cols>
    <col min="1" max="1" width="27.33203125" bestFit="1" customWidth="1"/>
    <col min="2" max="2" width="41" bestFit="1" customWidth="1"/>
    <col min="3" max="3" width="16.88671875" bestFit="1" customWidth="1"/>
    <col min="4" max="4" width="32.44140625" bestFit="1" customWidth="1"/>
    <col min="5" max="5" width="26" customWidth="1"/>
    <col min="6" max="6" width="19.6640625" customWidth="1"/>
    <col min="7" max="7" width="26" bestFit="1" customWidth="1"/>
    <col min="8" max="8" width="28" bestFit="1" customWidth="1"/>
    <col min="9" max="9" width="16.21875" bestFit="1" customWidth="1"/>
    <col min="10" max="10" width="20.6640625" customWidth="1"/>
    <col min="11" max="12" width="16.21875" bestFit="1" customWidth="1"/>
    <col min="13" max="13" width="17.88671875" bestFit="1" customWidth="1"/>
    <col min="14" max="14" width="18.77734375" bestFit="1" customWidth="1"/>
    <col min="15" max="15" width="12" bestFit="1" customWidth="1"/>
    <col min="16" max="16" width="20.44140625" bestFit="1" customWidth="1"/>
    <col min="17" max="17" width="10.88671875" bestFit="1" customWidth="1"/>
    <col min="18" max="18" width="15.88671875" bestFit="1" customWidth="1"/>
  </cols>
  <sheetData>
    <row r="1" spans="1:13" ht="14.4" customHeight="1" x14ac:dyDescent="0.3">
      <c r="A1" s="75" t="s">
        <v>57</v>
      </c>
      <c r="B1" s="75"/>
      <c r="C1" s="75"/>
      <c r="D1" s="75"/>
      <c r="E1" s="75"/>
      <c r="F1" s="75"/>
      <c r="G1" s="75"/>
      <c r="H1" s="75"/>
      <c r="I1" s="75"/>
    </row>
    <row r="2" spans="1:13" ht="14.4" customHeight="1" x14ac:dyDescent="0.3">
      <c r="A2" s="75"/>
      <c r="B2" s="75"/>
      <c r="C2" s="75"/>
      <c r="D2" s="75"/>
      <c r="E2" s="75"/>
      <c r="F2" s="75"/>
      <c r="G2" s="75"/>
      <c r="H2" s="75"/>
      <c r="I2" s="75"/>
    </row>
    <row r="3" spans="1:13" x14ac:dyDescent="0.3">
      <c r="A3" s="71" t="s">
        <v>0</v>
      </c>
      <c r="B3" s="71"/>
      <c r="D3" s="71" t="s">
        <v>24</v>
      </c>
      <c r="E3" s="71"/>
      <c r="G3" s="76" t="s">
        <v>65</v>
      </c>
      <c r="H3" s="76"/>
      <c r="I3" s="76"/>
    </row>
    <row r="4" spans="1:13" x14ac:dyDescent="0.3">
      <c r="A4" s="32" t="s">
        <v>1</v>
      </c>
      <c r="B4" s="36" t="s">
        <v>2</v>
      </c>
      <c r="D4" s="81" t="s">
        <v>25</v>
      </c>
      <c r="E4" s="81" t="s">
        <v>26</v>
      </c>
      <c r="G4" s="27" t="s">
        <v>38</v>
      </c>
      <c r="H4" s="28" t="s">
        <v>66</v>
      </c>
      <c r="I4" s="27" t="s">
        <v>67</v>
      </c>
    </row>
    <row r="5" spans="1:13" x14ac:dyDescent="0.3">
      <c r="A5" s="33" t="s">
        <v>3</v>
      </c>
      <c r="B5" s="36" t="s">
        <v>4</v>
      </c>
      <c r="G5" s="29" t="s">
        <v>42</v>
      </c>
      <c r="H5" s="19">
        <f>H24</f>
        <v>429.91578000000004</v>
      </c>
      <c r="I5" s="24">
        <f>AVERAGE(H76:H87)</f>
        <v>427.45413670257886</v>
      </c>
      <c r="M5" s="3"/>
    </row>
    <row r="6" spans="1:13" x14ac:dyDescent="0.3">
      <c r="A6" s="33" t="s">
        <v>5</v>
      </c>
      <c r="B6" s="36" t="s">
        <v>6</v>
      </c>
      <c r="D6" s="72" t="s">
        <v>59</v>
      </c>
      <c r="E6" s="72"/>
      <c r="G6" s="29" t="s">
        <v>43</v>
      </c>
      <c r="H6" s="19">
        <f>$B$14</f>
        <v>420</v>
      </c>
      <c r="I6" s="20">
        <f>$B$14</f>
        <v>420</v>
      </c>
      <c r="M6" s="1"/>
    </row>
    <row r="7" spans="1:13" x14ac:dyDescent="0.3">
      <c r="A7" s="33" t="s">
        <v>7</v>
      </c>
      <c r="B7" s="36" t="s">
        <v>8</v>
      </c>
      <c r="D7" s="31" t="s">
        <v>27</v>
      </c>
      <c r="E7" s="31" t="s">
        <v>12</v>
      </c>
      <c r="G7" s="29" t="s">
        <v>44</v>
      </c>
      <c r="H7" s="19">
        <f>H5-H6</f>
        <v>9.9157800000000407</v>
      </c>
      <c r="I7" s="20">
        <f>I5-I6</f>
        <v>7.4541367025788645</v>
      </c>
      <c r="M7" s="1"/>
    </row>
    <row r="8" spans="1:13" x14ac:dyDescent="0.3">
      <c r="A8" s="34" t="s">
        <v>9</v>
      </c>
      <c r="B8" s="37" t="s">
        <v>10</v>
      </c>
      <c r="D8" s="32" t="s">
        <v>28</v>
      </c>
      <c r="E8" s="47">
        <v>0.06</v>
      </c>
      <c r="G8" s="29" t="s">
        <v>45</v>
      </c>
      <c r="H8" s="21">
        <f>$B$13</f>
        <v>5000000</v>
      </c>
      <c r="I8" s="22">
        <f>$B$13</f>
        <v>5000000</v>
      </c>
      <c r="M8" s="1"/>
    </row>
    <row r="9" spans="1:13" x14ac:dyDescent="0.3">
      <c r="D9" s="33" t="s">
        <v>29</v>
      </c>
      <c r="E9" s="47">
        <v>0.04</v>
      </c>
      <c r="G9" s="29" t="s">
        <v>68</v>
      </c>
      <c r="H9" s="23">
        <f>H7*H8</f>
        <v>49578900.000000201</v>
      </c>
      <c r="I9" s="24">
        <f>AVERAGE(J76:J87)</f>
        <v>37270683.512894295</v>
      </c>
      <c r="M9" s="1"/>
    </row>
    <row r="10" spans="1:13" x14ac:dyDescent="0.3">
      <c r="A10" s="72" t="s">
        <v>13</v>
      </c>
      <c r="B10" s="72"/>
      <c r="D10" s="33" t="s">
        <v>30</v>
      </c>
      <c r="E10" s="47">
        <v>-0.03</v>
      </c>
      <c r="G10" s="30" t="s">
        <v>47</v>
      </c>
      <c r="H10" s="25">
        <f>H9*12</f>
        <v>594946800.00000238</v>
      </c>
      <c r="I10" s="26">
        <f>I9*12</f>
        <v>447248202.15473151</v>
      </c>
      <c r="M10" s="8"/>
    </row>
    <row r="11" spans="1:13" x14ac:dyDescent="0.3">
      <c r="A11" s="31" t="s">
        <v>11</v>
      </c>
      <c r="B11" s="31" t="s">
        <v>12</v>
      </c>
      <c r="D11" s="33" t="s">
        <v>31</v>
      </c>
      <c r="E11" s="47">
        <v>0.05</v>
      </c>
      <c r="G11" s="80" t="s">
        <v>70</v>
      </c>
      <c r="H11" s="80"/>
      <c r="I11" s="80"/>
      <c r="J11" s="80"/>
      <c r="M11" s="13"/>
    </row>
    <row r="12" spans="1:13" x14ac:dyDescent="0.3">
      <c r="A12" s="32" t="s">
        <v>13</v>
      </c>
      <c r="B12" s="38"/>
      <c r="D12" s="49" t="s">
        <v>55</v>
      </c>
      <c r="E12" s="48">
        <v>0.02</v>
      </c>
    </row>
    <row r="13" spans="1:13" x14ac:dyDescent="0.3">
      <c r="A13" s="33" t="s">
        <v>14</v>
      </c>
      <c r="B13" s="39">
        <v>5000000</v>
      </c>
    </row>
    <row r="14" spans="1:13" x14ac:dyDescent="0.3">
      <c r="A14" s="33" t="s">
        <v>15</v>
      </c>
      <c r="B14" s="40">
        <v>420</v>
      </c>
    </row>
    <row r="15" spans="1:13" x14ac:dyDescent="0.3">
      <c r="A15" s="33" t="s">
        <v>16</v>
      </c>
      <c r="B15" s="41">
        <v>0.38</v>
      </c>
    </row>
    <row r="16" spans="1:13" x14ac:dyDescent="0.3">
      <c r="A16" s="34" t="s">
        <v>17</v>
      </c>
      <c r="B16" s="42">
        <v>0.65</v>
      </c>
    </row>
    <row r="17" spans="1:11" x14ac:dyDescent="0.3">
      <c r="A17" s="2"/>
      <c r="B17" s="6"/>
    </row>
    <row r="18" spans="1:11" x14ac:dyDescent="0.3">
      <c r="A18" s="72" t="s">
        <v>61</v>
      </c>
      <c r="B18" s="72"/>
      <c r="D18" s="72" t="s">
        <v>62</v>
      </c>
      <c r="E18" s="72"/>
      <c r="G18" s="72" t="s">
        <v>56</v>
      </c>
      <c r="H18" s="72"/>
    </row>
    <row r="19" spans="1:11" x14ac:dyDescent="0.3">
      <c r="A19" s="31" t="s">
        <v>18</v>
      </c>
      <c r="B19" s="31" t="s">
        <v>19</v>
      </c>
      <c r="D19" s="31" t="s">
        <v>38</v>
      </c>
      <c r="E19" s="31" t="s">
        <v>15</v>
      </c>
      <c r="G19" s="31" t="s">
        <v>38</v>
      </c>
      <c r="H19" s="31" t="s">
        <v>40</v>
      </c>
      <c r="K19" s="15"/>
    </row>
    <row r="20" spans="1:11" x14ac:dyDescent="0.3">
      <c r="A20" s="32" t="s">
        <v>20</v>
      </c>
      <c r="B20" s="43">
        <v>0.45</v>
      </c>
      <c r="D20" s="32" t="s">
        <v>20</v>
      </c>
      <c r="E20" s="44">
        <f>$B$14*$B$20</f>
        <v>189</v>
      </c>
      <c r="G20" s="33" t="s">
        <v>20</v>
      </c>
      <c r="H20" s="40">
        <f>$E$20*(1+$E$8)</f>
        <v>200.34</v>
      </c>
    </row>
    <row r="21" spans="1:11" x14ac:dyDescent="0.3">
      <c r="A21" s="33" t="s">
        <v>21</v>
      </c>
      <c r="B21" s="41">
        <v>0.15</v>
      </c>
      <c r="D21" s="33" t="s">
        <v>21</v>
      </c>
      <c r="E21" s="40">
        <f>$B$14*$B$21</f>
        <v>63</v>
      </c>
      <c r="G21" s="33" t="s">
        <v>21</v>
      </c>
      <c r="H21" s="40">
        <f>$E$21*(1+$E$9)</f>
        <v>65.52</v>
      </c>
    </row>
    <row r="22" spans="1:11" x14ac:dyDescent="0.3">
      <c r="A22" s="33" t="s">
        <v>22</v>
      </c>
      <c r="B22" s="41">
        <v>0.1</v>
      </c>
      <c r="D22" s="33" t="s">
        <v>22</v>
      </c>
      <c r="E22" s="40">
        <f>$B$14*$B$22</f>
        <v>42</v>
      </c>
      <c r="G22" s="33" t="s">
        <v>22</v>
      </c>
      <c r="H22" s="40">
        <f>$E$22*(1+$E$11)</f>
        <v>44.1</v>
      </c>
    </row>
    <row r="23" spans="1:11" x14ac:dyDescent="0.3">
      <c r="A23" s="34" t="s">
        <v>23</v>
      </c>
      <c r="B23" s="42">
        <v>0.3</v>
      </c>
      <c r="D23" s="33" t="s">
        <v>23</v>
      </c>
      <c r="E23" s="40">
        <f>$B$14*$B$23</f>
        <v>126</v>
      </c>
      <c r="G23" s="33" t="s">
        <v>69</v>
      </c>
      <c r="H23" s="40">
        <f>$E$23</f>
        <v>126</v>
      </c>
    </row>
    <row r="24" spans="1:11" x14ac:dyDescent="0.3">
      <c r="B24" s="4"/>
      <c r="D24" s="35" t="s">
        <v>39</v>
      </c>
      <c r="E24" s="45">
        <f>SUM(E20:E23)</f>
        <v>420</v>
      </c>
      <c r="G24" s="35" t="s">
        <v>41</v>
      </c>
      <c r="H24" s="46">
        <f>SUM(H20:H23)+(($B$16)*($E$10)*SUM(H20:H22))</f>
        <v>429.91578000000004</v>
      </c>
    </row>
    <row r="25" spans="1:11" x14ac:dyDescent="0.3">
      <c r="B25" s="4"/>
      <c r="D25" s="7"/>
      <c r="E25" s="9"/>
      <c r="G25" s="7"/>
      <c r="H25" s="10"/>
    </row>
    <row r="26" spans="1:11" ht="14.4" customHeight="1" x14ac:dyDescent="0.3">
      <c r="A26" s="73" t="s">
        <v>37</v>
      </c>
      <c r="B26" s="73"/>
      <c r="C26" s="73"/>
      <c r="D26" s="73"/>
      <c r="E26" s="73"/>
      <c r="F26" s="68"/>
      <c r="G26" s="68"/>
      <c r="H26" s="68"/>
      <c r="I26" s="68"/>
    </row>
    <row r="27" spans="1:11" ht="14.4" customHeight="1" x14ac:dyDescent="0.3">
      <c r="A27" s="74"/>
      <c r="B27" s="74"/>
      <c r="C27" s="74"/>
      <c r="D27" s="74"/>
      <c r="E27" s="74"/>
      <c r="F27" s="68"/>
      <c r="G27" s="68"/>
      <c r="H27" s="68"/>
      <c r="I27" s="68"/>
    </row>
    <row r="28" spans="1:11" ht="18" x14ac:dyDescent="0.35">
      <c r="A28" s="70" t="s">
        <v>63</v>
      </c>
      <c r="B28" s="70"/>
      <c r="C28" s="70"/>
      <c r="D28" s="70"/>
      <c r="E28" s="70"/>
    </row>
    <row r="29" spans="1:11" x14ac:dyDescent="0.3">
      <c r="A29" s="31" t="s">
        <v>32</v>
      </c>
      <c r="B29" s="31" t="s">
        <v>33</v>
      </c>
      <c r="C29" s="31" t="s">
        <v>34</v>
      </c>
      <c r="D29" s="31" t="s">
        <v>35</v>
      </c>
      <c r="E29" s="31" t="s">
        <v>36</v>
      </c>
    </row>
    <row r="30" spans="1:11" x14ac:dyDescent="0.3">
      <c r="A30" s="50">
        <f>DATE(2023,1,1)</f>
        <v>44927</v>
      </c>
      <c r="B30" s="54">
        <v>100</v>
      </c>
      <c r="C30" s="54">
        <v>100</v>
      </c>
      <c r="D30" s="57">
        <v>6.7969999999999997</v>
      </c>
      <c r="E30" s="54">
        <v>100</v>
      </c>
    </row>
    <row r="31" spans="1:11" x14ac:dyDescent="0.3">
      <c r="A31" s="51">
        <f t="shared" ref="A31:A53" si="0">EDATE(A30,1)</f>
        <v>44958</v>
      </c>
      <c r="B31" s="55">
        <v>99.673006374189882</v>
      </c>
      <c r="C31" s="55">
        <v>100.93350788171294</v>
      </c>
      <c r="D31" s="58">
        <v>6.8360000000000003</v>
      </c>
      <c r="E31" s="55">
        <v>101.51929326794257</v>
      </c>
    </row>
    <row r="32" spans="1:11" x14ac:dyDescent="0.3">
      <c r="A32" s="51">
        <f t="shared" si="0"/>
        <v>44986</v>
      </c>
      <c r="B32" s="55">
        <v>99.243436707846229</v>
      </c>
      <c r="C32" s="55">
        <v>101.19596852734097</v>
      </c>
      <c r="D32" s="58">
        <v>6.8940000000000001</v>
      </c>
      <c r="E32" s="55">
        <v>101.57030516382831</v>
      </c>
    </row>
    <row r="33" spans="1:5" x14ac:dyDescent="0.3">
      <c r="A33" s="51">
        <f t="shared" si="0"/>
        <v>45017</v>
      </c>
      <c r="B33" s="55">
        <v>100.91944975226748</v>
      </c>
      <c r="C33" s="55">
        <v>102.82427006715366</v>
      </c>
      <c r="D33" s="58">
        <v>6.883</v>
      </c>
      <c r="E33" s="55">
        <v>103.1713965768901</v>
      </c>
    </row>
    <row r="34" spans="1:5" x14ac:dyDescent="0.3">
      <c r="A34" s="51">
        <f t="shared" si="0"/>
        <v>45047</v>
      </c>
      <c r="B34" s="55">
        <v>102.18546650463367</v>
      </c>
      <c r="C34" s="55">
        <v>103.47573126639519</v>
      </c>
      <c r="D34" s="58">
        <v>6.9809999999999999</v>
      </c>
      <c r="E34" s="55">
        <v>102.6250587710658</v>
      </c>
    </row>
    <row r="35" spans="1:5" x14ac:dyDescent="0.3">
      <c r="A35" s="51">
        <f t="shared" si="0"/>
        <v>45078</v>
      </c>
      <c r="B35" s="55">
        <v>101.67904967709202</v>
      </c>
      <c r="C35" s="55">
        <v>103.31586201480333</v>
      </c>
      <c r="D35" s="58">
        <v>7.149</v>
      </c>
      <c r="E35" s="55">
        <v>104.20189998123477</v>
      </c>
    </row>
    <row r="36" spans="1:5" x14ac:dyDescent="0.3">
      <c r="A36" s="51">
        <f t="shared" si="0"/>
        <v>45108</v>
      </c>
      <c r="B36" s="55">
        <v>101.81260923564166</v>
      </c>
      <c r="C36" s="55">
        <v>103.33098728909781</v>
      </c>
      <c r="D36" s="58">
        <v>7.1920000000000002</v>
      </c>
      <c r="E36" s="55">
        <v>103.21168841920129</v>
      </c>
    </row>
    <row r="37" spans="1:5" x14ac:dyDescent="0.3">
      <c r="A37" s="51">
        <f t="shared" si="0"/>
        <v>45139</v>
      </c>
      <c r="B37" s="55">
        <v>103.48003901315118</v>
      </c>
      <c r="C37" s="55">
        <v>105.35281491815961</v>
      </c>
      <c r="D37" s="58">
        <v>7.2329999999999997</v>
      </c>
      <c r="E37" s="55">
        <v>103.96312112233751</v>
      </c>
    </row>
    <row r="38" spans="1:5" x14ac:dyDescent="0.3">
      <c r="A38" s="51">
        <f t="shared" si="0"/>
        <v>45170</v>
      </c>
      <c r="B38" s="55">
        <v>104.97291867725278</v>
      </c>
      <c r="C38" s="55">
        <v>107.36016839327284</v>
      </c>
      <c r="D38" s="58">
        <v>7.28</v>
      </c>
      <c r="E38" s="55">
        <v>103.38561341211458</v>
      </c>
    </row>
    <row r="39" spans="1:5" x14ac:dyDescent="0.3">
      <c r="A39" s="51">
        <f t="shared" si="0"/>
        <v>45200</v>
      </c>
      <c r="B39" s="55">
        <v>106.40905575836091</v>
      </c>
      <c r="C39" s="55">
        <v>107.15082324119088</v>
      </c>
      <c r="D39" s="58">
        <v>7.2759999999999998</v>
      </c>
      <c r="E39" s="55">
        <v>101.92516519490715</v>
      </c>
    </row>
    <row r="40" spans="1:5" x14ac:dyDescent="0.3">
      <c r="A40" s="51">
        <f t="shared" si="0"/>
        <v>45231</v>
      </c>
      <c r="B40" s="55">
        <v>106.224583483896</v>
      </c>
      <c r="C40" s="55">
        <v>108.28542459301605</v>
      </c>
      <c r="D40" s="58">
        <v>7.2169999999999996</v>
      </c>
      <c r="E40" s="55">
        <v>100.7358038645946</v>
      </c>
    </row>
    <row r="41" spans="1:5" x14ac:dyDescent="0.3">
      <c r="A41" s="51">
        <f t="shared" si="0"/>
        <v>45261</v>
      </c>
      <c r="B41" s="55">
        <v>106.2579269016349</v>
      </c>
      <c r="C41" s="55">
        <v>109.73434936398168</v>
      </c>
      <c r="D41" s="58">
        <v>7.1260000000000003</v>
      </c>
      <c r="E41" s="55">
        <v>100.22857295547618</v>
      </c>
    </row>
    <row r="42" spans="1:5" x14ac:dyDescent="0.3">
      <c r="A42" s="51">
        <f t="shared" si="0"/>
        <v>45292</v>
      </c>
      <c r="B42" s="55">
        <v>106.8652884554171</v>
      </c>
      <c r="C42" s="55">
        <v>111.14748112417</v>
      </c>
      <c r="D42" s="58">
        <v>7.133</v>
      </c>
      <c r="E42" s="55">
        <v>100.96943910079092</v>
      </c>
    </row>
    <row r="43" spans="1:5" x14ac:dyDescent="0.3">
      <c r="A43" s="51">
        <f t="shared" si="0"/>
        <v>45323</v>
      </c>
      <c r="B43" s="55">
        <v>108.88250384059729</v>
      </c>
      <c r="C43" s="55">
        <v>111.26049620281908</v>
      </c>
      <c r="D43" s="58">
        <v>7.1859999999999999</v>
      </c>
      <c r="E43" s="55">
        <v>100.36212048061797</v>
      </c>
    </row>
    <row r="44" spans="1:5" x14ac:dyDescent="0.3">
      <c r="A44" s="51">
        <f t="shared" si="0"/>
        <v>45352</v>
      </c>
      <c r="B44" s="55">
        <v>108.50411474881064</v>
      </c>
      <c r="C44" s="55">
        <v>113.26115391795827</v>
      </c>
      <c r="D44" s="58">
        <v>7.202</v>
      </c>
      <c r="E44" s="55">
        <v>100.19175133133038</v>
      </c>
    </row>
    <row r="45" spans="1:5" x14ac:dyDescent="0.3">
      <c r="A45" s="51">
        <f t="shared" si="0"/>
        <v>45383</v>
      </c>
      <c r="B45" s="55">
        <v>109.0379054491822</v>
      </c>
      <c r="C45" s="55">
        <v>115.26886010730804</v>
      </c>
      <c r="D45" s="58">
        <v>7.2370000000000001</v>
      </c>
      <c r="E45" s="55">
        <v>100.69388390682352</v>
      </c>
    </row>
    <row r="46" spans="1:5" x14ac:dyDescent="0.3">
      <c r="A46" s="51">
        <f t="shared" si="0"/>
        <v>45413</v>
      </c>
      <c r="B46" s="55">
        <v>109.54615991355737</v>
      </c>
      <c r="C46" s="55">
        <v>117.52395526622435</v>
      </c>
      <c r="D46" s="58">
        <v>7.2329999999999997</v>
      </c>
      <c r="E46" s="55">
        <v>102.0566442290165</v>
      </c>
    </row>
    <row r="47" spans="1:5" x14ac:dyDescent="0.3">
      <c r="A47" s="51">
        <f t="shared" si="0"/>
        <v>45444</v>
      </c>
      <c r="B47" s="55">
        <v>110.89160792944118</v>
      </c>
      <c r="C47" s="55">
        <v>119.46864904304051</v>
      </c>
      <c r="D47" s="58">
        <v>7.2530000000000001</v>
      </c>
      <c r="E47" s="55">
        <v>103.11905723364661</v>
      </c>
    </row>
    <row r="48" spans="1:5" x14ac:dyDescent="0.3">
      <c r="A48" s="51">
        <f t="shared" si="0"/>
        <v>45474</v>
      </c>
      <c r="B48" s="55">
        <v>111.02481990458612</v>
      </c>
      <c r="C48" s="55">
        <v>119.87363299311608</v>
      </c>
      <c r="D48" s="58">
        <v>7.2629999999999999</v>
      </c>
      <c r="E48" s="55">
        <v>105.13446817241092</v>
      </c>
    </row>
    <row r="49" spans="1:10" x14ac:dyDescent="0.3">
      <c r="A49" s="51">
        <f t="shared" si="0"/>
        <v>45505</v>
      </c>
      <c r="B49" s="55">
        <v>112.37898236005664</v>
      </c>
      <c r="C49" s="55">
        <v>120.55931129097823</v>
      </c>
      <c r="D49" s="58">
        <v>7.1509999999999998</v>
      </c>
      <c r="E49" s="55">
        <v>104.87662086277473</v>
      </c>
    </row>
    <row r="50" spans="1:10" x14ac:dyDescent="0.3">
      <c r="A50" s="51">
        <f t="shared" si="0"/>
        <v>45536</v>
      </c>
      <c r="B50" s="55">
        <v>114.60839211417228</v>
      </c>
      <c r="C50" s="55">
        <v>121.08316782492808</v>
      </c>
      <c r="D50" s="58">
        <v>7.0759999999999996</v>
      </c>
      <c r="E50" s="55">
        <v>105.7392199661716</v>
      </c>
    </row>
    <row r="51" spans="1:10" x14ac:dyDescent="0.3">
      <c r="A51" s="51">
        <f t="shared" si="0"/>
        <v>45566</v>
      </c>
      <c r="B51" s="55">
        <v>113.90522495330778</v>
      </c>
      <c r="C51" s="55">
        <v>122.47804416599347</v>
      </c>
      <c r="D51" s="58">
        <v>7.0819999999999999</v>
      </c>
      <c r="E51" s="55">
        <v>104.86161689476683</v>
      </c>
    </row>
    <row r="52" spans="1:10" x14ac:dyDescent="0.3">
      <c r="A52" s="51">
        <f t="shared" si="0"/>
        <v>45597</v>
      </c>
      <c r="B52" s="55">
        <v>112.91571563532244</v>
      </c>
      <c r="C52" s="55">
        <v>124.49637970926337</v>
      </c>
      <c r="D52" s="58">
        <v>7.202</v>
      </c>
      <c r="E52" s="55">
        <v>104.6711533045271</v>
      </c>
    </row>
    <row r="53" spans="1:10" x14ac:dyDescent="0.3">
      <c r="A53" s="52">
        <f t="shared" si="0"/>
        <v>45627</v>
      </c>
      <c r="B53" s="56">
        <v>114.10836991558479</v>
      </c>
      <c r="C53" s="56">
        <v>126.84923229595761</v>
      </c>
      <c r="D53" s="59">
        <v>7.2789999999999999</v>
      </c>
      <c r="E53" s="56">
        <v>103.2064433695857</v>
      </c>
      <c r="I53" s="11"/>
    </row>
    <row r="54" spans="1:10" x14ac:dyDescent="0.3">
      <c r="A54" s="11"/>
      <c r="D54" s="1"/>
      <c r="I54" s="11"/>
    </row>
    <row r="55" spans="1:10" ht="14.4" customHeight="1" x14ac:dyDescent="0.3">
      <c r="A55" s="75" t="s">
        <v>58</v>
      </c>
      <c r="B55" s="75"/>
      <c r="C55" s="75"/>
      <c r="D55" s="75"/>
      <c r="E55" s="75"/>
      <c r="F55" s="75"/>
      <c r="G55" s="75"/>
      <c r="H55" s="75"/>
      <c r="I55" s="75"/>
      <c r="J55" s="75"/>
    </row>
    <row r="56" spans="1:10" ht="14.4" customHeight="1" x14ac:dyDescent="0.3">
      <c r="A56" s="75"/>
      <c r="B56" s="75"/>
      <c r="C56" s="75"/>
      <c r="D56" s="75"/>
      <c r="E56" s="75"/>
      <c r="F56" s="75"/>
      <c r="G56" s="75"/>
      <c r="H56" s="75"/>
      <c r="I56" s="75"/>
      <c r="J56" s="75"/>
    </row>
    <row r="57" spans="1:10" ht="15.6" x14ac:dyDescent="0.3">
      <c r="A57" s="69" t="s">
        <v>64</v>
      </c>
      <c r="B57" s="69"/>
      <c r="C57" s="69"/>
      <c r="D57" s="69"/>
      <c r="E57" s="69"/>
    </row>
    <row r="58" spans="1:10" x14ac:dyDescent="0.3">
      <c r="A58" s="31" t="s">
        <v>32</v>
      </c>
      <c r="B58" s="31" t="s">
        <v>33</v>
      </c>
      <c r="C58" s="31" t="s">
        <v>34</v>
      </c>
      <c r="D58" s="31" t="s">
        <v>35</v>
      </c>
      <c r="E58" s="31" t="s">
        <v>36</v>
      </c>
    </row>
    <row r="59" spans="1:10" x14ac:dyDescent="0.3">
      <c r="A59" s="50">
        <f>EDATE(A53,1)</f>
        <v>45658</v>
      </c>
      <c r="B59" s="54">
        <f>B53*( (1+$E$8)^(1/12) )</f>
        <v>114.66379817607776</v>
      </c>
      <c r="C59" s="54">
        <f>C53*( (1+$E$9)^(1/12) )</f>
        <v>127.26450367406628</v>
      </c>
      <c r="D59" s="54">
        <v>7.3011379999999999</v>
      </c>
      <c r="E59" s="54">
        <f>E53*( (1+$E$11)^(1/12) )</f>
        <v>103.62691919514349</v>
      </c>
    </row>
    <row r="60" spans="1:10" x14ac:dyDescent="0.3">
      <c r="A60" s="51">
        <f>EDATE(A59,1)</f>
        <v>45689</v>
      </c>
      <c r="B60" s="55">
        <f t="shared" ref="B60:B70" si="1">B59*( (1+$E$8)^(1/12) )</f>
        <v>115.22193001171411</v>
      </c>
      <c r="C60" s="55">
        <f t="shared" ref="C60:C70" si="2">C59*( (1+$E$9)^(1/12) )</f>
        <v>127.68113454260586</v>
      </c>
      <c r="D60" s="55">
        <v>7.2690650000000003</v>
      </c>
      <c r="E60" s="55">
        <f t="shared" ref="E60:E70" si="3">E59*( (1+$E$11)^(1/12) )</f>
        <v>104.04910809126262</v>
      </c>
    </row>
    <row r="61" spans="1:10" x14ac:dyDescent="0.3">
      <c r="A61" s="51">
        <f t="shared" ref="A61:A70" si="4">EDATE(A60,1)</f>
        <v>45717</v>
      </c>
      <c r="B61" s="55">
        <f t="shared" si="1"/>
        <v>115.78277858228255</v>
      </c>
      <c r="C61" s="55">
        <f t="shared" si="2"/>
        <v>128.09912935219427</v>
      </c>
      <c r="D61" s="55">
        <v>7.2510219999999999</v>
      </c>
      <c r="E61" s="55">
        <f t="shared" si="3"/>
        <v>104.47301703720464</v>
      </c>
    </row>
    <row r="62" spans="1:10" x14ac:dyDescent="0.3">
      <c r="A62" s="51">
        <f t="shared" si="4"/>
        <v>45748</v>
      </c>
      <c r="B62" s="55">
        <f t="shared" si="1"/>
        <v>116.34635711162773</v>
      </c>
      <c r="C62" s="55">
        <f t="shared" si="2"/>
        <v>128.51849256801958</v>
      </c>
      <c r="D62" s="55">
        <v>7.2912249999999998</v>
      </c>
      <c r="E62" s="55">
        <f t="shared" si="3"/>
        <v>104.89865304066542</v>
      </c>
    </row>
    <row r="63" spans="1:10" x14ac:dyDescent="0.3">
      <c r="A63" s="51">
        <f t="shared" si="4"/>
        <v>45778</v>
      </c>
      <c r="B63" s="55">
        <f t="shared" si="1"/>
        <v>116.91267888796203</v>
      </c>
      <c r="C63" s="55">
        <f t="shared" si="2"/>
        <v>128.93922866988774</v>
      </c>
      <c r="D63" s="55">
        <v>7.2200119999999997</v>
      </c>
      <c r="E63" s="55">
        <f t="shared" si="3"/>
        <v>105.32602313789107</v>
      </c>
    </row>
    <row r="64" spans="1:10" x14ac:dyDescent="0.3">
      <c r="A64" s="51">
        <f t="shared" si="4"/>
        <v>45809</v>
      </c>
      <c r="B64" s="55">
        <f t="shared" si="1"/>
        <v>117.4817572641789</v>
      </c>
      <c r="C64" s="55">
        <f t="shared" si="2"/>
        <v>129.3613421522704</v>
      </c>
      <c r="D64" s="55">
        <v>7.1826109999999996</v>
      </c>
      <c r="E64" s="55">
        <f t="shared" si="3"/>
        <v>105.75513439379425</v>
      </c>
    </row>
    <row r="65" spans="1:14" x14ac:dyDescent="0.3">
      <c r="A65" s="51">
        <f t="shared" si="4"/>
        <v>45839</v>
      </c>
      <c r="B65" s="55">
        <f t="shared" si="1"/>
        <v>118.05360565816764</v>
      </c>
      <c r="C65" s="55">
        <f t="shared" si="2"/>
        <v>129.78483752435292</v>
      </c>
      <c r="D65" s="55">
        <v>7.1718070000000003</v>
      </c>
      <c r="E65" s="55">
        <f t="shared" si="3"/>
        <v>106.18599390207093</v>
      </c>
    </row>
    <row r="66" spans="1:14" x14ac:dyDescent="0.3">
      <c r="A66" s="51">
        <f t="shared" si="4"/>
        <v>45870</v>
      </c>
      <c r="B66" s="55">
        <f t="shared" si="1"/>
        <v>118.62823755312984</v>
      </c>
      <c r="C66" s="55">
        <f t="shared" si="2"/>
        <v>130.20971931008262</v>
      </c>
      <c r="D66" s="55">
        <v>7.1760820000000001</v>
      </c>
      <c r="E66" s="55">
        <f t="shared" si="3"/>
        <v>106.6186087853177</v>
      </c>
    </row>
    <row r="67" spans="1:14" x14ac:dyDescent="0.3">
      <c r="A67" s="51">
        <f t="shared" si="4"/>
        <v>45901</v>
      </c>
      <c r="B67" s="55">
        <f t="shared" si="1"/>
        <v>119.20566649789723</v>
      </c>
      <c r="C67" s="55">
        <f t="shared" si="2"/>
        <v>130.63599204821699</v>
      </c>
      <c r="D67" s="55">
        <v>7.125235</v>
      </c>
      <c r="E67" s="55">
        <f t="shared" si="3"/>
        <v>107.05298619514947</v>
      </c>
    </row>
    <row r="68" spans="1:14" x14ac:dyDescent="0.3">
      <c r="A68" s="51">
        <f t="shared" si="4"/>
        <v>45931</v>
      </c>
      <c r="B68" s="55">
        <f t="shared" si="1"/>
        <v>119.78590610725117</v>
      </c>
      <c r="C68" s="55">
        <f t="shared" si="2"/>
        <v>131.06366029237225</v>
      </c>
      <c r="D68" s="55">
        <v>7.1205809999999996</v>
      </c>
      <c r="E68" s="55">
        <f t="shared" si="3"/>
        <v>107.4891333123177</v>
      </c>
    </row>
    <row r="69" spans="1:14" x14ac:dyDescent="0.3">
      <c r="A69" s="51">
        <f t="shared" si="4"/>
        <v>45962</v>
      </c>
      <c r="B69" s="55">
        <f t="shared" si="1"/>
        <v>120.36897006224365</v>
      </c>
      <c r="C69" s="55">
        <f t="shared" si="2"/>
        <v>131.49272861107198</v>
      </c>
      <c r="D69" s="55">
        <v>7.1045239999999996</v>
      </c>
      <c r="E69" s="55">
        <f t="shared" si="3"/>
        <v>107.92705734682917</v>
      </c>
    </row>
    <row r="70" spans="1:14" x14ac:dyDescent="0.3">
      <c r="A70" s="52">
        <f t="shared" si="4"/>
        <v>45992</v>
      </c>
      <c r="B70" s="56">
        <f t="shared" si="1"/>
        <v>120.95487211051989</v>
      </c>
      <c r="C70" s="56">
        <f t="shared" si="2"/>
        <v>131.92320158779594</v>
      </c>
      <c r="D70" s="56">
        <v>7.0466709999999999</v>
      </c>
      <c r="E70" s="56">
        <f t="shared" si="3"/>
        <v>108.36676553806507</v>
      </c>
    </row>
    <row r="71" spans="1:14" x14ac:dyDescent="0.3">
      <c r="A71" s="77" t="s">
        <v>98</v>
      </c>
      <c r="B71" s="78"/>
      <c r="N71" s="13"/>
    </row>
    <row r="72" spans="1:14" x14ac:dyDescent="0.3">
      <c r="A72" s="12"/>
      <c r="N72" s="13"/>
    </row>
    <row r="73" spans="1:14" x14ac:dyDescent="0.3">
      <c r="A73" s="12"/>
    </row>
    <row r="74" spans="1:14" ht="18" x14ac:dyDescent="0.35">
      <c r="A74" s="70" t="s">
        <v>60</v>
      </c>
      <c r="B74" s="70"/>
      <c r="C74" s="70"/>
      <c r="D74" s="70"/>
      <c r="E74" s="70"/>
      <c r="F74" s="70"/>
      <c r="G74" s="70"/>
      <c r="H74" s="70"/>
      <c r="I74" s="70"/>
      <c r="J74" s="70"/>
    </row>
    <row r="75" spans="1:14" x14ac:dyDescent="0.3">
      <c r="A75" s="31" t="s">
        <v>32</v>
      </c>
      <c r="B75" s="53" t="s">
        <v>48</v>
      </c>
      <c r="C75" s="53" t="s">
        <v>49</v>
      </c>
      <c r="D75" s="53" t="s">
        <v>50</v>
      </c>
      <c r="E75" s="53" t="s">
        <v>51</v>
      </c>
      <c r="F75" s="53" t="s">
        <v>52</v>
      </c>
      <c r="G75" s="53" t="s">
        <v>53</v>
      </c>
      <c r="H75" s="53" t="s">
        <v>54</v>
      </c>
      <c r="I75" s="53" t="s">
        <v>44</v>
      </c>
      <c r="J75" s="53" t="s">
        <v>46</v>
      </c>
    </row>
    <row r="76" spans="1:14" x14ac:dyDescent="0.3">
      <c r="A76" s="50">
        <v>45658</v>
      </c>
      <c r="B76" s="60">
        <f>$E$20*(B59/$B$53)</f>
        <v>189.91996705684983</v>
      </c>
      <c r="C76" s="60">
        <f>$E$21*(C59/$C$53)</f>
        <v>63.206245606278529</v>
      </c>
      <c r="D76" s="60">
        <f>$E$22*(E59/$E$53)</f>
        <v>42.171113198913233</v>
      </c>
      <c r="E76" s="60">
        <f>$E$23 * (1+$E$12)^(1/12)</f>
        <v>126.20809924404195</v>
      </c>
      <c r="F76" s="60">
        <f>B76+C76+D76</f>
        <v>295.29732586204159</v>
      </c>
      <c r="G76" s="65">
        <f>1 + $B$16*(D59/$D$53 - 1)</f>
        <v>1.0019768786921279</v>
      </c>
      <c r="H76" s="60">
        <f>F76*G76 + E76</f>
        <v>422.08919209742254</v>
      </c>
      <c r="I76" s="60">
        <f t="shared" ref="I76:I87" si="5">H76 - $B$14</f>
        <v>2.08919209742254</v>
      </c>
      <c r="J76" s="61">
        <f t="shared" ref="J76:J87" si="6">I76 * $B$13</f>
        <v>10445960.487112699</v>
      </c>
    </row>
    <row r="77" spans="1:14" x14ac:dyDescent="0.3">
      <c r="A77" s="51">
        <f>EDATE(A76,1)</f>
        <v>45689</v>
      </c>
      <c r="B77" s="62">
        <f>$E$20*(B60/$B$53)</f>
        <v>190.8444120998673</v>
      </c>
      <c r="C77" s="62">
        <f>$E$21*(C60/$C$53)</f>
        <v>63.413166407003239</v>
      </c>
      <c r="D77" s="62">
        <f>$E$22*(E60/$E$53)</f>
        <v>42.342923534179853</v>
      </c>
      <c r="E77" s="62">
        <f>E76*(1+$E$12)^(1/12)</f>
        <v>126.4165421809043</v>
      </c>
      <c r="F77" s="62">
        <f t="shared" ref="F77:F87" si="7">B77+C77+D77</f>
        <v>296.60050204105039</v>
      </c>
      <c r="G77" s="66">
        <f>1 + $B$16*(D60/$D$53 - 1)</f>
        <v>0.99911282456381378</v>
      </c>
      <c r="H77" s="62">
        <f t="shared" ref="H77:H87" si="8">F77*G77 + E77</f>
        <v>422.75390754218336</v>
      </c>
      <c r="I77" s="62">
        <f t="shared" si="5"/>
        <v>2.7539075421833559</v>
      </c>
      <c r="J77" s="63">
        <f t="shared" si="6"/>
        <v>13769537.71091678</v>
      </c>
    </row>
    <row r="78" spans="1:14" x14ac:dyDescent="0.3">
      <c r="A78" s="51">
        <f t="shared" ref="A78:A87" si="9">EDATE(A77,1)</f>
        <v>45717</v>
      </c>
      <c r="B78" s="62">
        <f>$E$20*(B61/$B$53)</f>
        <v>191.77335692587661</v>
      </c>
      <c r="C78" s="62">
        <f>$E$21*(C61/$C$53)</f>
        <v>63.620764612585035</v>
      </c>
      <c r="D78" s="62">
        <f>$E$22*(E61/$E$53)</f>
        <v>42.515433846019661</v>
      </c>
      <c r="E78" s="62">
        <f t="shared" ref="E78:E87" si="10">E77 * (1+$E$12)^(1/12)</f>
        <v>126.6253293782237</v>
      </c>
      <c r="F78" s="62">
        <f t="shared" si="7"/>
        <v>297.90955538448134</v>
      </c>
      <c r="G78" s="66">
        <f>1 + $B$16*(D61/$D$53 - 1)</f>
        <v>0.99750162110179974</v>
      </c>
      <c r="H78" s="62">
        <f t="shared" si="8"/>
        <v>423.79059381596022</v>
      </c>
      <c r="I78" s="62">
        <f t="shared" si="5"/>
        <v>3.7905938159602215</v>
      </c>
      <c r="J78" s="63">
        <f t="shared" si="6"/>
        <v>18952969.079801109</v>
      </c>
    </row>
    <row r="79" spans="1:14" x14ac:dyDescent="0.3">
      <c r="A79" s="51">
        <f t="shared" si="9"/>
        <v>45748</v>
      </c>
      <c r="B79" s="62">
        <f>$E$20*(B62/$B$53)</f>
        <v>192.70682343779887</v>
      </c>
      <c r="C79" s="62">
        <f>$E$21*(C62/$C$53)</f>
        <v>63.829042440671167</v>
      </c>
      <c r="D79" s="62">
        <f>$E$22*(E62/$E$53)</f>
        <v>42.688646986223858</v>
      </c>
      <c r="E79" s="62">
        <f t="shared" si="10"/>
        <v>126.83446140457426</v>
      </c>
      <c r="F79" s="62">
        <f t="shared" si="7"/>
        <v>299.22451286469391</v>
      </c>
      <c r="G79" s="66">
        <f>1 + $B$16*(D62/$D$53 - 1)</f>
        <v>1.0010916678115125</v>
      </c>
      <c r="H79" s="62">
        <f t="shared" si="8"/>
        <v>426.38562803837806</v>
      </c>
      <c r="I79" s="62">
        <f t="shared" si="5"/>
        <v>6.3856280383780586</v>
      </c>
      <c r="J79" s="63">
        <f t="shared" si="6"/>
        <v>31928140.191890292</v>
      </c>
    </row>
    <row r="80" spans="1:14" x14ac:dyDescent="0.3">
      <c r="A80" s="51">
        <f t="shared" si="9"/>
        <v>45778</v>
      </c>
      <c r="B80" s="62">
        <f>$E$20*(B63/$B$53)</f>
        <v>193.64483364516903</v>
      </c>
      <c r="C80" s="62">
        <f>$E$21*(C63/$C$53)</f>
        <v>64.038002116168855</v>
      </c>
      <c r="D80" s="62">
        <f>$E$22*(E63/$E$53)</f>
        <v>42.862565818202199</v>
      </c>
      <c r="E80" s="62">
        <f t="shared" si="10"/>
        <v>127.04393882946917</v>
      </c>
      <c r="F80" s="62">
        <f t="shared" si="7"/>
        <v>300.54540157954006</v>
      </c>
      <c r="G80" s="66">
        <f>1 + $B$16*(D63/$D$53 - 1)</f>
        <v>0.99473249072674819</v>
      </c>
      <c r="H80" s="62">
        <f t="shared" si="8"/>
        <v>426.00621471915576</v>
      </c>
      <c r="I80" s="62">
        <f t="shared" si="5"/>
        <v>6.0062147191557642</v>
      </c>
      <c r="J80" s="63">
        <f t="shared" si="6"/>
        <v>30031073.595778823</v>
      </c>
    </row>
    <row r="81" spans="1:10" x14ac:dyDescent="0.3">
      <c r="A81" s="51">
        <f t="shared" si="9"/>
        <v>45809</v>
      </c>
      <c r="B81" s="62">
        <f>$E$20*(B64/$B$53)</f>
        <v>194.5874096646543</v>
      </c>
      <c r="C81" s="62">
        <f>$E$21*(C64/$C$53)</f>
        <v>64.2476458712691</v>
      </c>
      <c r="D81" s="62">
        <f>$E$22*(E64/$E$53)</f>
        <v>43.037193217030328</v>
      </c>
      <c r="E81" s="62">
        <f t="shared" si="10"/>
        <v>127.25376222336222</v>
      </c>
      <c r="F81" s="62">
        <f t="shared" si="7"/>
        <v>301.87224875295374</v>
      </c>
      <c r="G81" s="66">
        <f>1 + $B$16*(D64/$D$53 - 1)</f>
        <v>0.99139265695837331</v>
      </c>
      <c r="H81" s="62">
        <f t="shared" si="8"/>
        <v>426.52769297655203</v>
      </c>
      <c r="I81" s="62">
        <f t="shared" si="5"/>
        <v>6.5276929765520322</v>
      </c>
      <c r="J81" s="63">
        <f t="shared" si="6"/>
        <v>32638464.88276016</v>
      </c>
    </row>
    <row r="82" spans="1:10" x14ac:dyDescent="0.3">
      <c r="A82" s="51">
        <f t="shared" si="9"/>
        <v>45839</v>
      </c>
      <c r="B82" s="62">
        <f>$E$20*(B65/$B$53)</f>
        <v>195.53457372057611</v>
      </c>
      <c r="C82" s="62">
        <f>$E$21*(C65/$C$53)</f>
        <v>64.457975945470494</v>
      </c>
      <c r="D82" s="62">
        <f>$E$22*(E65/$E$53)</f>
        <v>43.212532069497307</v>
      </c>
      <c r="E82" s="62">
        <f t="shared" si="10"/>
        <v>127.46393215764932</v>
      </c>
      <c r="F82" s="62">
        <f t="shared" si="7"/>
        <v>303.2050817355439</v>
      </c>
      <c r="G82" s="66">
        <f>1 + $B$16*(D65/$D$53 - 1)</f>
        <v>0.99042788157713979</v>
      </c>
      <c r="H82" s="62">
        <f t="shared" si="8"/>
        <v>427.76669894440755</v>
      </c>
      <c r="I82" s="62">
        <f t="shared" si="5"/>
        <v>7.7666989444075512</v>
      </c>
      <c r="J82" s="63">
        <f t="shared" si="6"/>
        <v>38833494.722037755</v>
      </c>
    </row>
    <row r="83" spans="1:10" x14ac:dyDescent="0.3">
      <c r="A83" s="51">
        <f t="shared" si="9"/>
        <v>45870</v>
      </c>
      <c r="B83" s="62">
        <f>$E$20*(B66/$B$53)</f>
        <v>196.48634814543382</v>
      </c>
      <c r="C83" s="62">
        <f>$E$21*(C66/$C$53)</f>
        <v>64.668994585603201</v>
      </c>
      <c r="D83" s="62">
        <f>$E$22*(E66/$E$53)</f>
        <v>43.388585274153307</v>
      </c>
      <c r="E83" s="62">
        <f t="shared" si="10"/>
        <v>127.67444920467013</v>
      </c>
      <c r="F83" s="62">
        <f t="shared" si="7"/>
        <v>304.54392800519031</v>
      </c>
      <c r="G83" s="66">
        <f>1 + $B$16*(D66/$D$53 - 1)</f>
        <v>0.99080963044374226</v>
      </c>
      <c r="H83" s="62">
        <f t="shared" si="8"/>
        <v>429.41950596537839</v>
      </c>
      <c r="I83" s="62">
        <f t="shared" si="5"/>
        <v>9.4195059653783915</v>
      </c>
      <c r="J83" s="63">
        <f t="shared" si="6"/>
        <v>47097529.826891959</v>
      </c>
    </row>
    <row r="84" spans="1:10" x14ac:dyDescent="0.3">
      <c r="A84" s="51">
        <f t="shared" si="9"/>
        <v>45901</v>
      </c>
      <c r="B84" s="62">
        <f>$E$20*(B67/$B$53)</f>
        <v>197.44275538043129</v>
      </c>
      <c r="C84" s="62">
        <f>$E$21*(C67/$C$53)</f>
        <v>64.880704045852895</v>
      </c>
      <c r="D84" s="62">
        <f>$E$22*(E67/$E$53)</f>
        <v>43.565355741357592</v>
      </c>
      <c r="E84" s="62">
        <f t="shared" si="10"/>
        <v>127.88531393770953</v>
      </c>
      <c r="F84" s="62">
        <f t="shared" si="7"/>
        <v>305.88881516764184</v>
      </c>
      <c r="G84" s="66">
        <f>1 + $B$16*(D67/$D$53 - 1)</f>
        <v>0.98626909602967439</v>
      </c>
      <c r="H84" s="62">
        <f t="shared" si="8"/>
        <v>429.5739991586878</v>
      </c>
      <c r="I84" s="62">
        <f t="shared" si="5"/>
        <v>9.5739991586877977</v>
      </c>
      <c r="J84" s="63">
        <f t="shared" si="6"/>
        <v>47869995.793438986</v>
      </c>
    </row>
    <row r="85" spans="1:10" x14ac:dyDescent="0.3">
      <c r="A85" s="51">
        <f t="shared" si="9"/>
        <v>45931</v>
      </c>
      <c r="B85" s="62">
        <f>$E$20*(B68/$B$53)</f>
        <v>198.40381797600622</v>
      </c>
      <c r="C85" s="62">
        <f>$E$21*(C68/$C$53)</f>
        <v>65.093106587784874</v>
      </c>
      <c r="D85" s="62">
        <f>$E$22*(E68/$E$53)</f>
        <v>43.742846393326552</v>
      </c>
      <c r="E85" s="62">
        <f t="shared" si="10"/>
        <v>128.09652693099923</v>
      </c>
      <c r="F85" s="62">
        <f t="shared" si="7"/>
        <v>307.23977095711763</v>
      </c>
      <c r="G85" s="66">
        <f>1 + $B$16*(D68/$D$53 - 1)</f>
        <v>0.98585350322846543</v>
      </c>
      <c r="H85" s="62">
        <f t="shared" si="8"/>
        <v>430.98993146018495</v>
      </c>
      <c r="I85" s="62">
        <f t="shared" si="5"/>
        <v>10.989931460184948</v>
      </c>
      <c r="J85" s="63">
        <f t="shared" si="6"/>
        <v>54949657.300924741</v>
      </c>
    </row>
    <row r="86" spans="1:10" x14ac:dyDescent="0.3">
      <c r="A86" s="51">
        <f t="shared" si="9"/>
        <v>45962</v>
      </c>
      <c r="B86" s="62">
        <f>$E$20*(B69/$B$53)</f>
        <v>199.36955859236156</v>
      </c>
      <c r="C86" s="62">
        <f>$E$21*(C69/$C$53)</f>
        <v>65.306204480368208</v>
      </c>
      <c r="D86" s="62">
        <f>$E$22*(E69/$E$53)</f>
        <v>43.921060164182094</v>
      </c>
      <c r="E86" s="62">
        <f t="shared" si="10"/>
        <v>128.3080887597194</v>
      </c>
      <c r="F86" s="62">
        <f t="shared" si="7"/>
        <v>308.59682323691186</v>
      </c>
      <c r="G86" s="66">
        <f>1 + $B$16*(D69/$D$53 - 1)</f>
        <v>0.98441964555570816</v>
      </c>
      <c r="H86" s="62">
        <f t="shared" si="8"/>
        <v>432.09686411021767</v>
      </c>
      <c r="I86" s="62">
        <f t="shared" si="5"/>
        <v>12.096864110217666</v>
      </c>
      <c r="J86" s="63">
        <f t="shared" si="6"/>
        <v>60484320.551088333</v>
      </c>
    </row>
    <row r="87" spans="1:10" x14ac:dyDescent="0.3">
      <c r="A87" s="52">
        <f t="shared" si="9"/>
        <v>45992</v>
      </c>
      <c r="B87" s="64">
        <f>$E$20*(B70/$B$53)</f>
        <v>200.34</v>
      </c>
      <c r="C87" s="64">
        <f>$E$21*(C70/$C$53)</f>
        <v>65.52000000000001</v>
      </c>
      <c r="D87" s="64">
        <f>$E$22*(E70/$E$53)</f>
        <v>44.10000000000003</v>
      </c>
      <c r="E87" s="64">
        <f t="shared" si="10"/>
        <v>128.52000000000007</v>
      </c>
      <c r="F87" s="64">
        <f t="shared" si="7"/>
        <v>309.96000000000004</v>
      </c>
      <c r="G87" s="67">
        <f>1 + $B$16*(D70/$D$53 - 1)</f>
        <v>0.97925348949031465</v>
      </c>
      <c r="H87" s="64">
        <f t="shared" si="8"/>
        <v>432.04941160241799</v>
      </c>
      <c r="I87" s="64">
        <f t="shared" si="5"/>
        <v>12.04941160241799</v>
      </c>
      <c r="J87" s="46">
        <f t="shared" si="6"/>
        <v>60247058.012089953</v>
      </c>
    </row>
    <row r="88" spans="1:10" x14ac:dyDescent="0.3">
      <c r="A88" s="79" t="s">
        <v>97</v>
      </c>
      <c r="B88" s="78"/>
    </row>
    <row r="92" spans="1:10" x14ac:dyDescent="0.3">
      <c r="C92" s="11"/>
    </row>
    <row r="93" spans="1:10" x14ac:dyDescent="0.3">
      <c r="C93" s="11"/>
    </row>
    <row r="94" spans="1:10" x14ac:dyDescent="0.3">
      <c r="C94" s="11"/>
    </row>
    <row r="95" spans="1:10" x14ac:dyDescent="0.3">
      <c r="C95" s="11"/>
    </row>
    <row r="96" spans="1:10" x14ac:dyDescent="0.3">
      <c r="C96" s="11"/>
    </row>
    <row r="97" spans="3:3" x14ac:dyDescent="0.3">
      <c r="C97" s="11"/>
    </row>
    <row r="98" spans="3:3" x14ac:dyDescent="0.3">
      <c r="C98" s="11"/>
    </row>
    <row r="99" spans="3:3" x14ac:dyDescent="0.3">
      <c r="C99" s="11"/>
    </row>
    <row r="100" spans="3:3" x14ac:dyDescent="0.3">
      <c r="C100" s="11"/>
    </row>
    <row r="101" spans="3:3" x14ac:dyDescent="0.3">
      <c r="C101" s="11"/>
    </row>
    <row r="102" spans="3:3" x14ac:dyDescent="0.3">
      <c r="C102" s="11"/>
    </row>
    <row r="103" spans="3:3" x14ac:dyDescent="0.3">
      <c r="C103" s="11"/>
    </row>
  </sheetData>
  <mergeCells count="15">
    <mergeCell ref="A1:I2"/>
    <mergeCell ref="G11:J11"/>
    <mergeCell ref="A57:E57"/>
    <mergeCell ref="A74:J74"/>
    <mergeCell ref="A28:E28"/>
    <mergeCell ref="D3:E3"/>
    <mergeCell ref="G3:I3"/>
    <mergeCell ref="A26:E27"/>
    <mergeCell ref="A55:J56"/>
    <mergeCell ref="G18:H18"/>
    <mergeCell ref="D18:E18"/>
    <mergeCell ref="A18:B18"/>
    <mergeCell ref="D6:E6"/>
    <mergeCell ref="A3:B3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6069-FC65-4413-9E7A-81B8EB6FCB65}">
  <dimension ref="A1:C30"/>
  <sheetViews>
    <sheetView workbookViewId="0">
      <selection activeCell="J5" sqref="J5"/>
    </sheetView>
  </sheetViews>
  <sheetFormatPr defaultRowHeight="14.4" x14ac:dyDescent="0.3"/>
  <cols>
    <col min="1" max="1" width="4.21875" customWidth="1"/>
  </cols>
  <sheetData>
    <row r="1" spans="1:3" x14ac:dyDescent="0.3">
      <c r="A1" t="s">
        <v>71</v>
      </c>
    </row>
    <row r="3" spans="1:3" x14ac:dyDescent="0.3">
      <c r="A3" t="s">
        <v>92</v>
      </c>
      <c r="B3" s="7" t="s">
        <v>72</v>
      </c>
    </row>
    <row r="4" spans="1:3" x14ac:dyDescent="0.3">
      <c r="B4" s="16" t="s">
        <v>73</v>
      </c>
      <c r="C4" s="5"/>
    </row>
    <row r="5" spans="1:3" x14ac:dyDescent="0.3">
      <c r="B5" s="14" t="s">
        <v>74</v>
      </c>
    </row>
    <row r="6" spans="1:3" x14ac:dyDescent="0.3">
      <c r="B6" s="17" t="s">
        <v>75</v>
      </c>
    </row>
    <row r="7" spans="1:3" x14ac:dyDescent="0.3">
      <c r="B7" s="17" t="s">
        <v>76</v>
      </c>
    </row>
    <row r="8" spans="1:3" x14ac:dyDescent="0.3">
      <c r="B8" s="17" t="s">
        <v>77</v>
      </c>
    </row>
    <row r="10" spans="1:3" x14ac:dyDescent="0.3">
      <c r="A10" t="s">
        <v>93</v>
      </c>
      <c r="B10" t="s">
        <v>78</v>
      </c>
    </row>
    <row r="11" spans="1:3" x14ac:dyDescent="0.3">
      <c r="B11" s="18" t="s">
        <v>79</v>
      </c>
    </row>
    <row r="12" spans="1:3" x14ac:dyDescent="0.3">
      <c r="B12" s="14" t="s">
        <v>74</v>
      </c>
    </row>
    <row r="13" spans="1:3" x14ac:dyDescent="0.3">
      <c r="B13" s="17" t="s">
        <v>80</v>
      </c>
    </row>
    <row r="14" spans="1:3" x14ac:dyDescent="0.3">
      <c r="B14" s="17" t="s">
        <v>81</v>
      </c>
    </row>
    <row r="15" spans="1:3" x14ac:dyDescent="0.3">
      <c r="B15" t="s">
        <v>82</v>
      </c>
    </row>
    <row r="17" spans="1:2" x14ac:dyDescent="0.3">
      <c r="A17" t="s">
        <v>94</v>
      </c>
      <c r="B17" s="7" t="s">
        <v>83</v>
      </c>
    </row>
    <row r="18" spans="1:2" x14ac:dyDescent="0.3">
      <c r="B18" s="2" t="s">
        <v>84</v>
      </c>
    </row>
    <row r="19" spans="1:2" x14ac:dyDescent="0.3">
      <c r="B19" s="14" t="s">
        <v>74</v>
      </c>
    </row>
    <row r="20" spans="1:2" x14ac:dyDescent="0.3">
      <c r="B20" t="s">
        <v>89</v>
      </c>
    </row>
    <row r="22" spans="1:2" x14ac:dyDescent="0.3">
      <c r="A22" t="s">
        <v>95</v>
      </c>
      <c r="B22" s="2" t="s">
        <v>85</v>
      </c>
    </row>
    <row r="23" spans="1:2" x14ac:dyDescent="0.3">
      <c r="B23" s="16" t="s">
        <v>86</v>
      </c>
    </row>
    <row r="24" spans="1:2" x14ac:dyDescent="0.3">
      <c r="B24" s="14" t="s">
        <v>74</v>
      </c>
    </row>
    <row r="25" spans="1:2" x14ac:dyDescent="0.3">
      <c r="B25" t="s">
        <v>90</v>
      </c>
    </row>
    <row r="27" spans="1:2" x14ac:dyDescent="0.3">
      <c r="A27" t="s">
        <v>96</v>
      </c>
      <c r="B27" s="2" t="s">
        <v>87</v>
      </c>
    </row>
    <row r="28" spans="1:2" x14ac:dyDescent="0.3">
      <c r="B28" s="16" t="s">
        <v>88</v>
      </c>
    </row>
    <row r="29" spans="1:2" x14ac:dyDescent="0.3">
      <c r="B29" s="14" t="s">
        <v>74</v>
      </c>
    </row>
    <row r="30" spans="1:2" x14ac:dyDescent="0.3">
      <c r="B30" t="s">
        <v>91</v>
      </c>
    </row>
  </sheetData>
  <hyperlinks>
    <hyperlink ref="B4" r:id="rId1" xr:uid="{221C1B47-074A-4E60-8CCF-7215DE9E35B5}"/>
    <hyperlink ref="B11" r:id="rId2" xr:uid="{81303F53-A587-45E7-9BD7-3E8B021F5A93}"/>
    <hyperlink ref="B23" r:id="rId3" xr:uid="{54374BFE-0DAF-43F2-A21D-D4DEB6324A0F}"/>
    <hyperlink ref="B28" r:id="rId4" xr:uid="{6EAA3C17-3B48-4E5F-983F-135DC7F92D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Source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Khadloya</dc:creator>
  <cp:lastModifiedBy>Tejas Khadloya</cp:lastModifiedBy>
  <dcterms:created xsi:type="dcterms:W3CDTF">2026-01-26T23:26:08Z</dcterms:created>
  <dcterms:modified xsi:type="dcterms:W3CDTF">2026-02-01T23:44:17Z</dcterms:modified>
</cp:coreProperties>
</file>